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gel\Desktop\"/>
    </mc:Choice>
  </mc:AlternateContent>
  <xr:revisionPtr revIDLastSave="0" documentId="13_ncr:1_{14F3766F-3ECB-4A35-BF86-DD320E3930F0}" xr6:coauthVersionLast="47" xr6:coauthVersionMax="47" xr10:uidLastSave="{00000000-0000-0000-0000-000000000000}"/>
  <bookViews>
    <workbookView xWindow="2685" yWindow="2685" windowWidth="21600" windowHeight="11835" xr2:uid="{00000000-000D-0000-FFFF-FFFF00000000}"/>
  </bookViews>
  <sheets>
    <sheet name="Products" sheetId="1" r:id="rId1"/>
    <sheet name="Orders" sheetId="2" r:id="rId2"/>
    <sheet name="Pivot Table" sheetId="3" r:id="rId3"/>
  </sheets>
  <definedNames>
    <definedName name="_xlnm._FilterDatabase" localSheetId="1" hidden="1">Orders!$A$1:$I$13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I12" i="2" s="1"/>
  <c r="E13" i="2"/>
  <c r="E2" i="2"/>
  <c r="F3" i="2"/>
  <c r="F4" i="2"/>
  <c r="F5" i="2"/>
  <c r="F6" i="2"/>
  <c r="F7" i="2"/>
  <c r="F8" i="2"/>
  <c r="F9" i="2"/>
  <c r="F10" i="2"/>
  <c r="F11" i="2"/>
  <c r="F12" i="2"/>
  <c r="F13" i="2"/>
  <c r="F2" i="2"/>
  <c r="G9" i="2"/>
  <c r="H9" i="2"/>
  <c r="G3" i="1"/>
  <c r="G4" i="1"/>
  <c r="G5" i="1"/>
  <c r="G6" i="1"/>
  <c r="G7" i="1"/>
  <c r="G8" i="1"/>
  <c r="G9" i="1"/>
  <c r="G2" i="1"/>
  <c r="F2" i="1"/>
  <c r="G13" i="2"/>
  <c r="H13" i="2" s="1"/>
  <c r="G3" i="2"/>
  <c r="H3" i="2" s="1"/>
  <c r="G4" i="2"/>
  <c r="H4" i="2" s="1"/>
  <c r="G5" i="2"/>
  <c r="H5" i="2" s="1"/>
  <c r="G6" i="2"/>
  <c r="H6" i="2" s="1"/>
  <c r="G7" i="2"/>
  <c r="H7" i="2" s="1"/>
  <c r="G8" i="2"/>
  <c r="H8" i="2" s="1"/>
  <c r="G10" i="2"/>
  <c r="H10" i="2" s="1"/>
  <c r="G11" i="2"/>
  <c r="H11" i="2" s="1"/>
  <c r="G12" i="2"/>
  <c r="H12" i="2" s="1"/>
  <c r="G2" i="2"/>
  <c r="H2" i="2" s="1"/>
  <c r="I3" i="2"/>
  <c r="I4" i="2"/>
  <c r="I5" i="2"/>
  <c r="I6" i="2"/>
  <c r="I7" i="2"/>
  <c r="I8" i="2"/>
  <c r="I9" i="2"/>
  <c r="I10" i="2"/>
  <c r="I11" i="2"/>
  <c r="I13" i="2"/>
  <c r="I2" i="2"/>
  <c r="A4" i="1"/>
  <c r="A5" i="1"/>
  <c r="A6" i="1"/>
  <c r="A7" i="1"/>
  <c r="A8" i="1"/>
  <c r="A9" i="1"/>
  <c r="A3" i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</calcChain>
</file>

<file path=xl/sharedStrings.xml><?xml version="1.0" encoding="utf-8"?>
<sst xmlns="http://schemas.openxmlformats.org/spreadsheetml/2006/main" count="47" uniqueCount="27">
  <si>
    <t>ProductID</t>
  </si>
  <si>
    <t>ProductName</t>
  </si>
  <si>
    <t>Laptop</t>
  </si>
  <si>
    <t>Mouse</t>
  </si>
  <si>
    <t>Keyboard</t>
  </si>
  <si>
    <t>Monitor</t>
  </si>
  <si>
    <t>Desk</t>
  </si>
  <si>
    <t>Chair</t>
  </si>
  <si>
    <t>Notebook</t>
  </si>
  <si>
    <t>Pen Pack</t>
  </si>
  <si>
    <t>Category</t>
  </si>
  <si>
    <t>Electronics</t>
  </si>
  <si>
    <t>Furniture</t>
  </si>
  <si>
    <t>Stationery</t>
  </si>
  <si>
    <t>UnitPrice</t>
  </si>
  <si>
    <t>OrderID</t>
  </si>
  <si>
    <t>Date</t>
  </si>
  <si>
    <t>Quantity</t>
  </si>
  <si>
    <t>Total</t>
  </si>
  <si>
    <t>Grand Total</t>
  </si>
  <si>
    <t>Search product name</t>
  </si>
  <si>
    <t>Computer</t>
  </si>
  <si>
    <t>Copybook</t>
  </si>
  <si>
    <t>Status</t>
  </si>
  <si>
    <t>Categories</t>
  </si>
  <si>
    <t>Not found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</si>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</sst>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164" formatCode="yyyy\-mm\-dd;@"/>
    <numFmt numFmtId="165" formatCode="&quot;P&quot;###"/>
    <numFmt numFmtId="166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165" fontId="0" fillId="0" borderId="0" xfId="0" applyNumberFormat="1"/>
    <xf numFmtId="0" fontId="0" fillId="0" borderId="0" xfId="0" pivotButton="1"/>
    <xf numFmtId="164" fontId="0" fillId="0" borderId="0" xfId="0" applyNumberFormat="1" applyAlignment="1">
      <alignment horizontal="left"/>
    </xf>
    <xf numFmtId="6" fontId="0" fillId="0" borderId="0" xfId="0" applyNumberFormat="1"/>
    <xf numFmtId="0" fontId="3" fillId="0" borderId="0" xfId="0" applyFont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1" applyNumberFormat="1" applyFont="1" applyBorder="1"/>
    <xf numFmtId="166" fontId="0" fillId="0" borderId="1" xfId="0" applyNumberFormat="1" applyBorder="1"/>
    <xf numFmtId="0" fontId="2" fillId="2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0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 Jr Castaños" refreshedDate="46304.78181990741" createdVersion="8" refreshedVersion="8" minRefreshableVersion="3" recordCount="12" xr:uid="{BDFAC951-2197-4683-AB35-D0A31E514AE1}">
  <cacheSource type="worksheet">
    <worksheetSource ref="A1:H13" sheet="Orders"/>
  </cacheSource>
  <cacheFields count="8">
    <cacheField name="OrderID" numFmtId="0">
      <sharedItems containsSemiMixedTypes="0" containsString="0" containsNumber="1" containsInteger="1" minValue="1001" maxValue="1012"/>
    </cacheField>
    <cacheField name="Date" numFmtId="164">
      <sharedItems containsSemiMixedTypes="0" containsNonDate="0" containsDate="1" containsString="0" minDate="2026-09-01T00:00:00" maxDate="2026-09-09T00:00:00" count="8"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</sharedItems>
    </cacheField>
    <cacheField name="ProductID" numFmtId="165">
      <sharedItems containsSemiMixedTypes="0" containsString="0" containsNumber="1" containsInteger="1" minValue="101" maxValue="999"/>
    </cacheField>
    <cacheField name="Quantity" numFmtId="0">
      <sharedItems containsSemiMixedTypes="0" containsString="0" containsNumber="1" containsInteger="1" minValue="1" maxValue="20"/>
    </cacheField>
    <cacheField name="ProductName" numFmtId="0">
      <sharedItems/>
    </cacheField>
    <cacheField name="Category" numFmtId="0">
      <sharedItems count="4">
        <s v="Electronics"/>
        <s v="Furniture"/>
        <s v="Stationery"/>
        <s v="Not found"/>
      </sharedItems>
    </cacheField>
    <cacheField name="UnitPrice" numFmtId="0">
      <sharedItems containsMixedTypes="1" containsNumber="1" containsInteger="1" minValue="4" maxValue="850"/>
    </cacheField>
    <cacheField name="Total" numFmtId="44">
      <sharedItems containsSemiMixedTypes="0" containsString="0" containsNumber="1" containsInteger="1" minValue="0" maxValue="1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001"/>
    <x v="0"/>
    <n v="102"/>
    <n v="3"/>
    <s v="Mouse"/>
    <x v="0"/>
    <n v="25"/>
    <n v="75"/>
  </r>
  <r>
    <n v="1002"/>
    <x v="0"/>
    <n v="105"/>
    <n v="1"/>
    <s v="Desk"/>
    <x v="1"/>
    <n v="310"/>
    <n v="310"/>
  </r>
  <r>
    <n v="1003"/>
    <x v="1"/>
    <n v="101"/>
    <n v="2"/>
    <s v="Laptop"/>
    <x v="0"/>
    <n v="850"/>
    <n v="1700"/>
  </r>
  <r>
    <n v="1004"/>
    <x v="2"/>
    <n v="108"/>
    <n v="10"/>
    <s v="Pen Pack"/>
    <x v="2"/>
    <n v="8"/>
    <n v="80"/>
  </r>
  <r>
    <n v="1005"/>
    <x v="2"/>
    <n v="104"/>
    <n v="1"/>
    <s v="Monitor"/>
    <x v="0"/>
    <n v="220"/>
    <n v="220"/>
  </r>
  <r>
    <n v="1006"/>
    <x v="3"/>
    <n v="106"/>
    <n v="2"/>
    <s v="Chair"/>
    <x v="1"/>
    <n v="180"/>
    <n v="360"/>
  </r>
  <r>
    <n v="1007"/>
    <x v="4"/>
    <n v="103"/>
    <n v="4"/>
    <s v="Keyboard"/>
    <x v="0"/>
    <n v="45"/>
    <n v="180"/>
  </r>
  <r>
    <n v="1008"/>
    <x v="4"/>
    <n v="999"/>
    <n v="1"/>
    <s v="Not found"/>
    <x v="3"/>
    <s v="0"/>
    <n v="0"/>
  </r>
  <r>
    <n v="1009"/>
    <x v="5"/>
    <n v="107"/>
    <n v="20"/>
    <s v="Notebook"/>
    <x v="2"/>
    <n v="4"/>
    <n v="80"/>
  </r>
  <r>
    <n v="1010"/>
    <x v="6"/>
    <n v="101"/>
    <n v="1"/>
    <s v="Laptop"/>
    <x v="0"/>
    <n v="850"/>
    <n v="850"/>
  </r>
  <r>
    <n v="1011"/>
    <x v="7"/>
    <n v="102"/>
    <n v="5"/>
    <s v="Mouse"/>
    <x v="0"/>
    <n v="25"/>
    <n v="125"/>
  </r>
  <r>
    <n v="1012"/>
    <x v="7"/>
    <n v="110"/>
    <n v="2"/>
    <s v="Not found"/>
    <x v="3"/>
    <s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BC52D1-241B-4705-8971-7E01A599971E}" name="PivotTable1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rowHeaderCaption="Date" colHeaderCaption="Categories">
  <location ref="A3:F13" firstHeaderRow="1" firstDataRow="2" firstDataCol="1"/>
  <pivotFields count="8">
    <pivotField showAll="0"/>
    <pivotField axis="axisRow" numFmtId="16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65" showAll="0"/>
    <pivotField showAll="0"/>
    <pivotField showAll="0"/>
    <pivotField axis="axisCol" showAll="0">
      <items count="5">
        <item x="0"/>
        <item x="1"/>
        <item x="3"/>
        <item x="2"/>
        <item t="default"/>
      </items>
    </pivotField>
    <pivotField showAll="0"/>
    <pivotField dataField="1" numFmtId="44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Revenue" fld="7" baseField="1" baseItem="0" numFmtId="6"/>
  </dataFields>
  <formats count="1">
    <format dxfId="3">
      <pivotArea outline="0" collapsedLevelsAreSubtotals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showGridLines="0" tabSelected="1" workbookViewId="0">
      <pane ySplit="1" topLeftCell="A2" activePane="bottomLeft" state="frozen"/>
      <selection pane="bottomLeft" activeCell="H9" sqref="H9"/>
    </sheetView>
  </sheetViews>
  <sheetFormatPr defaultRowHeight="15" x14ac:dyDescent="0.25"/>
  <cols>
    <col min="1" max="1" width="9.7109375" bestFit="1" customWidth="1"/>
    <col min="2" max="2" width="13.28515625" bestFit="1" customWidth="1"/>
    <col min="3" max="3" width="10.5703125" bestFit="1" customWidth="1"/>
    <col min="6" max="6" width="19.85546875" bestFit="1" customWidth="1"/>
    <col min="7" max="7" width="9.7109375" bestFit="1" customWidth="1"/>
  </cols>
  <sheetData>
    <row r="1" spans="1:7" x14ac:dyDescent="0.25">
      <c r="A1" s="11" t="s">
        <v>0</v>
      </c>
      <c r="B1" s="11" t="s">
        <v>1</v>
      </c>
      <c r="C1" s="11" t="s">
        <v>10</v>
      </c>
      <c r="D1" s="11" t="s">
        <v>14</v>
      </c>
      <c r="E1" s="5"/>
      <c r="F1" s="11" t="s">
        <v>20</v>
      </c>
      <c r="G1" s="11" t="s">
        <v>0</v>
      </c>
    </row>
    <row r="2" spans="1:7" x14ac:dyDescent="0.25">
      <c r="A2" s="8">
        <v>101</v>
      </c>
      <c r="B2" s="6" t="s">
        <v>2</v>
      </c>
      <c r="C2" s="6" t="s">
        <v>11</v>
      </c>
      <c r="D2" s="10">
        <v>850</v>
      </c>
      <c r="F2" s="6" t="str">
        <f>B4</f>
        <v>Keyboard</v>
      </c>
      <c r="G2" s="8">
        <f>_xlfn.XLOOKUP(F2,$B$1:$B$9,$A$1:$A$9,"not found")</f>
        <v>103</v>
      </c>
    </row>
    <row r="3" spans="1:7" x14ac:dyDescent="0.25">
      <c r="A3" s="8">
        <f>A2+1</f>
        <v>102</v>
      </c>
      <c r="B3" s="6" t="s">
        <v>3</v>
      </c>
      <c r="C3" s="6" t="s">
        <v>11</v>
      </c>
      <c r="D3" s="10">
        <v>25</v>
      </c>
      <c r="F3" s="6" t="s">
        <v>5</v>
      </c>
      <c r="G3" s="8">
        <f t="shared" ref="G3:G9" si="0">_xlfn.XLOOKUP(F3,$B$1:$B$9,$A$1:$A$9,"not found")</f>
        <v>104</v>
      </c>
    </row>
    <row r="4" spans="1:7" x14ac:dyDescent="0.25">
      <c r="A4" s="8">
        <f t="shared" ref="A4:A9" si="1">A3+1</f>
        <v>103</v>
      </c>
      <c r="B4" s="6" t="s">
        <v>4</v>
      </c>
      <c r="C4" s="6" t="s">
        <v>11</v>
      </c>
      <c r="D4" s="10">
        <v>45</v>
      </c>
      <c r="F4" s="6" t="s">
        <v>2</v>
      </c>
      <c r="G4" s="8">
        <f t="shared" si="0"/>
        <v>101</v>
      </c>
    </row>
    <row r="5" spans="1:7" x14ac:dyDescent="0.25">
      <c r="A5" s="8">
        <f t="shared" si="1"/>
        <v>104</v>
      </c>
      <c r="B5" s="6" t="s">
        <v>5</v>
      </c>
      <c r="C5" s="6" t="s">
        <v>11</v>
      </c>
      <c r="D5" s="10">
        <v>220</v>
      </c>
      <c r="F5" s="6" t="s">
        <v>6</v>
      </c>
      <c r="G5" s="8">
        <f t="shared" si="0"/>
        <v>105</v>
      </c>
    </row>
    <row r="6" spans="1:7" x14ac:dyDescent="0.25">
      <c r="A6" s="8">
        <f t="shared" si="1"/>
        <v>105</v>
      </c>
      <c r="B6" s="6" t="s">
        <v>6</v>
      </c>
      <c r="C6" s="6" t="s">
        <v>12</v>
      </c>
      <c r="D6" s="10">
        <v>310</v>
      </c>
      <c r="F6" s="6" t="s">
        <v>9</v>
      </c>
      <c r="G6" s="8">
        <f t="shared" si="0"/>
        <v>108</v>
      </c>
    </row>
    <row r="7" spans="1:7" x14ac:dyDescent="0.25">
      <c r="A7" s="8">
        <f t="shared" si="1"/>
        <v>106</v>
      </c>
      <c r="B7" s="6" t="s">
        <v>7</v>
      </c>
      <c r="C7" s="6" t="s">
        <v>12</v>
      </c>
      <c r="D7" s="10">
        <v>180</v>
      </c>
      <c r="F7" s="6" t="s">
        <v>21</v>
      </c>
      <c r="G7" s="8" t="str">
        <f t="shared" si="0"/>
        <v>not found</v>
      </c>
    </row>
    <row r="8" spans="1:7" x14ac:dyDescent="0.25">
      <c r="A8" s="8">
        <f t="shared" si="1"/>
        <v>107</v>
      </c>
      <c r="B8" s="6" t="s">
        <v>8</v>
      </c>
      <c r="C8" s="6" t="s">
        <v>13</v>
      </c>
      <c r="D8" s="10">
        <v>4</v>
      </c>
      <c r="F8" s="6" t="s">
        <v>8</v>
      </c>
      <c r="G8" s="8">
        <f t="shared" si="0"/>
        <v>107</v>
      </c>
    </row>
    <row r="9" spans="1:7" x14ac:dyDescent="0.25">
      <c r="A9" s="8">
        <f t="shared" si="1"/>
        <v>108</v>
      </c>
      <c r="B9" s="6" t="s">
        <v>9</v>
      </c>
      <c r="C9" s="6" t="s">
        <v>13</v>
      </c>
      <c r="D9" s="10">
        <v>8</v>
      </c>
      <c r="F9" s="6" t="s">
        <v>22</v>
      </c>
      <c r="G9" s="8" t="str">
        <f t="shared" si="0"/>
        <v>not found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C18FF760-C885-41C4-B192-943D4212F7CE}">
            <xm:f>NOT(ISERROR(SEARCH($G$7,A1)))</xm:f>
            <xm:f>$G$7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A1:G9</xm:sqref>
        </x14:conditionalFormatting>
        <x14:conditionalFormatting xmlns:xm="http://schemas.microsoft.com/office/excel/2006/main">
          <x14:cfRule type="containsText" priority="2" operator="containsText" id="{AF00870D-328E-4C46-8624-67917C031355}">
            <xm:f>NOT(ISERROR(SEARCH($G$7,G2)))</xm:f>
            <xm:f>$G$7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39A56-ED26-4A39-82A9-01BAB67A314D}">
  <dimension ref="A1:I16"/>
  <sheetViews>
    <sheetView showGridLines="0" workbookViewId="0">
      <pane ySplit="1" topLeftCell="A2" activePane="bottomLeft" state="frozen"/>
      <selection pane="bottomLeft" activeCell="I1" sqref="I1"/>
    </sheetView>
  </sheetViews>
  <sheetFormatPr defaultRowHeight="15" x14ac:dyDescent="0.25"/>
  <cols>
    <col min="1" max="1" width="8" bestFit="1" customWidth="1"/>
    <col min="2" max="2" width="10.42578125" bestFit="1" customWidth="1"/>
    <col min="3" max="3" width="9.7109375" bestFit="1" customWidth="1"/>
    <col min="4" max="4" width="8.7109375" bestFit="1" customWidth="1"/>
    <col min="5" max="5" width="13.28515625" bestFit="1" customWidth="1"/>
    <col min="6" max="6" width="10.5703125" bestFit="1" customWidth="1"/>
    <col min="7" max="7" width="9.28515625" bestFit="1" customWidth="1"/>
    <col min="8" max="8" width="10.5703125" bestFit="1" customWidth="1"/>
    <col min="9" max="9" width="15.140625" bestFit="1" customWidth="1"/>
  </cols>
  <sheetData>
    <row r="1" spans="1:9" x14ac:dyDescent="0.25">
      <c r="A1" s="11" t="s">
        <v>15</v>
      </c>
      <c r="B1" s="11" t="s">
        <v>16</v>
      </c>
      <c r="C1" s="11" t="s">
        <v>0</v>
      </c>
      <c r="D1" s="11" t="s">
        <v>17</v>
      </c>
      <c r="E1" s="11" t="s">
        <v>1</v>
      </c>
      <c r="F1" s="11" t="s">
        <v>10</v>
      </c>
      <c r="G1" s="11" t="s">
        <v>14</v>
      </c>
      <c r="H1" s="11" t="s">
        <v>18</v>
      </c>
      <c r="I1" s="11" t="s">
        <v>23</v>
      </c>
    </row>
    <row r="2" spans="1:9" x14ac:dyDescent="0.25">
      <c r="A2" s="6">
        <v>1001</v>
      </c>
      <c r="B2" s="7">
        <v>46266</v>
      </c>
      <c r="C2" s="8">
        <v>102</v>
      </c>
      <c r="D2" s="6">
        <v>3</v>
      </c>
      <c r="E2" s="6" t="str">
        <f>_xlfn.XLOOKUP(C2,Products!$A$2:$A$9,Products!$B$2:$B$9,"Not found")</f>
        <v>Mouse</v>
      </c>
      <c r="F2" s="6" t="str">
        <f>_xlfn.XLOOKUP(C2,Products!$A$2:$A$9,Products!$C$2:$C$9,"Not found")</f>
        <v>Electronics</v>
      </c>
      <c r="G2" s="9">
        <f>_xlfn.XLOOKUP(C2,Products!$A$2:$A$9,Products!$D$2:$D$9,"")</f>
        <v>25</v>
      </c>
      <c r="H2" s="10">
        <f>D2*G2</f>
        <v>75</v>
      </c>
      <c r="I2" s="6" t="str">
        <f>IF(E2="NOT FOUND","Missing Product","OK")</f>
        <v>OK</v>
      </c>
    </row>
    <row r="3" spans="1:9" x14ac:dyDescent="0.25">
      <c r="A3" s="6">
        <f>A2+1</f>
        <v>1002</v>
      </c>
      <c r="B3" s="7">
        <v>46266</v>
      </c>
      <c r="C3" s="8">
        <v>105</v>
      </c>
      <c r="D3" s="6">
        <v>1</v>
      </c>
      <c r="E3" s="6" t="str">
        <f>_xlfn.XLOOKUP(C3,Products!$A$2:$A$9,Products!$B$2:$B$9,"Not found")</f>
        <v>Desk</v>
      </c>
      <c r="F3" s="6" t="str">
        <f>_xlfn.XLOOKUP(C3,Products!$A$2:$A$9,Products!$C$2:$C$9,"Not found")</f>
        <v>Furniture</v>
      </c>
      <c r="G3" s="10">
        <f>_xlfn.XLOOKUP(C3,Products!$A$2:$A$9,Products!$D$2:$D$9,"")</f>
        <v>310</v>
      </c>
      <c r="H3" s="10">
        <f t="shared" ref="H3:H13" si="0">D3*G3</f>
        <v>310</v>
      </c>
      <c r="I3" s="6" t="str">
        <f t="shared" ref="I3:I13" si="1">IF(E3="NOT FOUND","Missing Product","OK")</f>
        <v>OK</v>
      </c>
    </row>
    <row r="4" spans="1:9" x14ac:dyDescent="0.25">
      <c r="A4" s="6">
        <f t="shared" ref="A4:A13" si="2">A3+1</f>
        <v>1003</v>
      </c>
      <c r="B4" s="7">
        <v>46267</v>
      </c>
      <c r="C4" s="8">
        <v>101</v>
      </c>
      <c r="D4" s="6">
        <v>2</v>
      </c>
      <c r="E4" s="6" t="str">
        <f>_xlfn.XLOOKUP(C4,Products!$A$2:$A$9,Products!$B$2:$B$9,"Not found")</f>
        <v>Laptop</v>
      </c>
      <c r="F4" s="6" t="str">
        <f>_xlfn.XLOOKUP(C4,Products!$A$2:$A$9,Products!$C$2:$C$9,"Not found")</f>
        <v>Electronics</v>
      </c>
      <c r="G4" s="10">
        <f>_xlfn.XLOOKUP(C4,Products!$A$2:$A$9,Products!$D$2:$D$9,"")</f>
        <v>850</v>
      </c>
      <c r="H4" s="10">
        <f t="shared" si="0"/>
        <v>1700</v>
      </c>
      <c r="I4" s="6" t="str">
        <f t="shared" si="1"/>
        <v>OK</v>
      </c>
    </row>
    <row r="5" spans="1:9" x14ac:dyDescent="0.25">
      <c r="A5" s="6">
        <f t="shared" si="2"/>
        <v>1004</v>
      </c>
      <c r="B5" s="7">
        <v>46268</v>
      </c>
      <c r="C5" s="8">
        <v>108</v>
      </c>
      <c r="D5" s="6">
        <v>10</v>
      </c>
      <c r="E5" s="6" t="str">
        <f>_xlfn.XLOOKUP(C5,Products!$A$2:$A$9,Products!$B$2:$B$9,"Not found")</f>
        <v>Pen Pack</v>
      </c>
      <c r="F5" s="6" t="str">
        <f>_xlfn.XLOOKUP(C5,Products!$A$2:$A$9,Products!$C$2:$C$9,"Not found")</f>
        <v>Stationery</v>
      </c>
      <c r="G5" s="10">
        <f>_xlfn.XLOOKUP(C5,Products!$A$2:$A$9,Products!$D$2:$D$9,"")</f>
        <v>8</v>
      </c>
      <c r="H5" s="10">
        <f t="shared" si="0"/>
        <v>80</v>
      </c>
      <c r="I5" s="6" t="str">
        <f t="shared" si="1"/>
        <v>OK</v>
      </c>
    </row>
    <row r="6" spans="1:9" x14ac:dyDescent="0.25">
      <c r="A6" s="6">
        <f t="shared" si="2"/>
        <v>1005</v>
      </c>
      <c r="B6" s="7">
        <v>46268</v>
      </c>
      <c r="C6" s="8">
        <v>104</v>
      </c>
      <c r="D6" s="6">
        <v>1</v>
      </c>
      <c r="E6" s="6" t="str">
        <f>_xlfn.XLOOKUP(C6,Products!$A$2:$A$9,Products!$B$2:$B$9,"Not found")</f>
        <v>Monitor</v>
      </c>
      <c r="F6" s="6" t="str">
        <f>_xlfn.XLOOKUP(C6,Products!$A$2:$A$9,Products!$C$2:$C$9,"Not found")</f>
        <v>Electronics</v>
      </c>
      <c r="G6" s="10">
        <f>_xlfn.XLOOKUP(C6,Products!$A$2:$A$9,Products!$D$2:$D$9,"")</f>
        <v>220</v>
      </c>
      <c r="H6" s="10">
        <f t="shared" si="0"/>
        <v>220</v>
      </c>
      <c r="I6" s="6" t="str">
        <f t="shared" si="1"/>
        <v>OK</v>
      </c>
    </row>
    <row r="7" spans="1:9" x14ac:dyDescent="0.25">
      <c r="A7" s="6">
        <f t="shared" si="2"/>
        <v>1006</v>
      </c>
      <c r="B7" s="7">
        <v>46269</v>
      </c>
      <c r="C7" s="8">
        <v>106</v>
      </c>
      <c r="D7" s="6">
        <v>2</v>
      </c>
      <c r="E7" s="6" t="str">
        <f>_xlfn.XLOOKUP(C7,Products!$A$2:$A$9,Products!$B$2:$B$9,"Not found")</f>
        <v>Chair</v>
      </c>
      <c r="F7" s="6" t="str">
        <f>_xlfn.XLOOKUP(C7,Products!$A$2:$A$9,Products!$C$2:$C$9,"Not found")</f>
        <v>Furniture</v>
      </c>
      <c r="G7" s="10">
        <f>_xlfn.XLOOKUP(C7,Products!$A$2:$A$9,Products!$D$2:$D$9,"")</f>
        <v>180</v>
      </c>
      <c r="H7" s="10">
        <f t="shared" si="0"/>
        <v>360</v>
      </c>
      <c r="I7" s="6" t="str">
        <f t="shared" si="1"/>
        <v>OK</v>
      </c>
    </row>
    <row r="8" spans="1:9" x14ac:dyDescent="0.25">
      <c r="A8" s="6">
        <f t="shared" si="2"/>
        <v>1007</v>
      </c>
      <c r="B8" s="7">
        <v>46270</v>
      </c>
      <c r="C8" s="8">
        <v>103</v>
      </c>
      <c r="D8" s="6">
        <v>4</v>
      </c>
      <c r="E8" s="6" t="str">
        <f>_xlfn.XLOOKUP(C8,Products!$A$2:$A$9,Products!$B$2:$B$9,"Not found")</f>
        <v>Keyboard</v>
      </c>
      <c r="F8" s="6" t="str">
        <f>_xlfn.XLOOKUP(C8,Products!$A$2:$A$9,Products!$C$2:$C$9,"Not found")</f>
        <v>Electronics</v>
      </c>
      <c r="G8" s="10">
        <f>_xlfn.XLOOKUP(C8,Products!$A$2:$A$9,Products!$D$2:$D$9,"")</f>
        <v>45</v>
      </c>
      <c r="H8" s="10">
        <f t="shared" si="0"/>
        <v>180</v>
      </c>
      <c r="I8" s="6" t="str">
        <f t="shared" si="1"/>
        <v>OK</v>
      </c>
    </row>
    <row r="9" spans="1:9" x14ac:dyDescent="0.25">
      <c r="A9" s="6">
        <f t="shared" si="2"/>
        <v>1008</v>
      </c>
      <c r="B9" s="7">
        <v>46270</v>
      </c>
      <c r="C9" s="8">
        <v>999</v>
      </c>
      <c r="D9" s="6">
        <v>1</v>
      </c>
      <c r="E9" s="6" t="str">
        <f>_xlfn.XLOOKUP(C9,Products!$A$2:$A$9,Products!$B$2:$B$9,"Not found")</f>
        <v>Not found</v>
      </c>
      <c r="F9" s="6" t="str">
        <f>_xlfn.XLOOKUP(C9,Products!$A$2:$A$9,Products!$C$2:$C$9,"Not found")</f>
        <v>Not found</v>
      </c>
      <c r="G9" s="10" t="str">
        <f>_xlfn.XLOOKUP(C9,Products!$A$2:$A$9,Products!$D$2:$D$9,"0")</f>
        <v>0</v>
      </c>
      <c r="H9" s="10">
        <f t="shared" si="0"/>
        <v>0</v>
      </c>
      <c r="I9" s="6" t="str">
        <f t="shared" si="1"/>
        <v>Missing Product</v>
      </c>
    </row>
    <row r="10" spans="1:9" x14ac:dyDescent="0.25">
      <c r="A10" s="6">
        <f t="shared" si="2"/>
        <v>1009</v>
      </c>
      <c r="B10" s="7">
        <v>46271</v>
      </c>
      <c r="C10" s="8">
        <v>107</v>
      </c>
      <c r="D10" s="6">
        <v>20</v>
      </c>
      <c r="E10" s="6" t="str">
        <f>_xlfn.XLOOKUP(C10,Products!$A$2:$A$9,Products!$B$2:$B$9,"Not found")</f>
        <v>Notebook</v>
      </c>
      <c r="F10" s="6" t="str">
        <f>_xlfn.XLOOKUP(C10,Products!$A$2:$A$9,Products!$C$2:$C$9,"Not found")</f>
        <v>Stationery</v>
      </c>
      <c r="G10" s="10">
        <f>_xlfn.XLOOKUP(C10,Products!$A$2:$A$9,Products!$D$2:$D$9,"")</f>
        <v>4</v>
      </c>
      <c r="H10" s="10">
        <f t="shared" si="0"/>
        <v>80</v>
      </c>
      <c r="I10" s="6" t="str">
        <f t="shared" si="1"/>
        <v>OK</v>
      </c>
    </row>
    <row r="11" spans="1:9" x14ac:dyDescent="0.25">
      <c r="A11" s="6">
        <f t="shared" si="2"/>
        <v>1010</v>
      </c>
      <c r="B11" s="7">
        <v>46272</v>
      </c>
      <c r="C11" s="8">
        <v>101</v>
      </c>
      <c r="D11" s="6">
        <v>1</v>
      </c>
      <c r="E11" s="6" t="str">
        <f>_xlfn.XLOOKUP(C11,Products!$A$2:$A$9,Products!$B$2:$B$9,"Not found")</f>
        <v>Laptop</v>
      </c>
      <c r="F11" s="6" t="str">
        <f>_xlfn.XLOOKUP(C11,Products!$A$2:$A$9,Products!$C$2:$C$9,"Not found")</f>
        <v>Electronics</v>
      </c>
      <c r="G11" s="10">
        <f>_xlfn.XLOOKUP(C11,Products!$A$2:$A$9,Products!$D$2:$D$9,"")</f>
        <v>850</v>
      </c>
      <c r="H11" s="10">
        <f t="shared" si="0"/>
        <v>850</v>
      </c>
      <c r="I11" s="6" t="str">
        <f t="shared" si="1"/>
        <v>OK</v>
      </c>
    </row>
    <row r="12" spans="1:9" x14ac:dyDescent="0.25">
      <c r="A12" s="6">
        <f t="shared" si="2"/>
        <v>1011</v>
      </c>
      <c r="B12" s="7">
        <v>46273</v>
      </c>
      <c r="C12" s="8">
        <v>102</v>
      </c>
      <c r="D12" s="6">
        <v>5</v>
      </c>
      <c r="E12" s="6" t="str">
        <f>_xlfn.XLOOKUP(C12,Products!$A$2:$A$9,Products!$B$2:$B$9,"Not found")</f>
        <v>Mouse</v>
      </c>
      <c r="F12" s="6" t="str">
        <f>_xlfn.XLOOKUP(C12,Products!$A$2:$A$9,Products!$C$2:$C$9,"Not found")</f>
        <v>Electronics</v>
      </c>
      <c r="G12" s="10">
        <f>_xlfn.XLOOKUP(C12,Products!$A$2:$A$9,Products!$D$2:$D$9,"")</f>
        <v>25</v>
      </c>
      <c r="H12" s="10">
        <f t="shared" si="0"/>
        <v>125</v>
      </c>
      <c r="I12" s="6" t="str">
        <f t="shared" si="1"/>
        <v>OK</v>
      </c>
    </row>
    <row r="13" spans="1:9" x14ac:dyDescent="0.25">
      <c r="A13" s="6">
        <f t="shared" si="2"/>
        <v>1012</v>
      </c>
      <c r="B13" s="7">
        <v>46273</v>
      </c>
      <c r="C13" s="8">
        <v>110</v>
      </c>
      <c r="D13" s="6">
        <v>2</v>
      </c>
      <c r="E13" s="6" t="str">
        <f>_xlfn.XLOOKUP(C13,Products!$A$2:$A$9,Products!$B$2:$B$9,"Not found")</f>
        <v>Not found</v>
      </c>
      <c r="F13" s="6" t="str">
        <f>_xlfn.XLOOKUP(C13,Products!$A$2:$A$9,Products!$C$2:$C$9,"Not found")</f>
        <v>Not found</v>
      </c>
      <c r="G13" s="10" t="str">
        <f>_xlfn.XLOOKUP(C13,Products!$A$2:$A$9,Products!$D$2:$D$9,"0")</f>
        <v>0</v>
      </c>
      <c r="H13" s="10">
        <f t="shared" si="0"/>
        <v>0</v>
      </c>
      <c r="I13" s="6" t="str">
        <f t="shared" si="1"/>
        <v>Missing Product</v>
      </c>
    </row>
    <row r="16" spans="1:9" x14ac:dyDescent="0.25">
      <c r="C16" s="1"/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A975E757-362B-47A8-AF47-52C459186672}">
            <xm:f>NOT(ISERROR(SEARCH($I$9,A1)))</xm:f>
            <xm:f>$I$9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A1:I13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CAE5C-A4E4-459F-B5C5-5E739F74E4C0}">
  <dimension ref="A3:F13"/>
  <sheetViews>
    <sheetView showGridLines="0"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12" bestFit="1" customWidth="1"/>
    <col min="2" max="2" width="12.7109375" bestFit="1" customWidth="1"/>
    <col min="3" max="3" width="9.28515625" bestFit="1" customWidth="1"/>
    <col min="4" max="4" width="10" bestFit="1" customWidth="1"/>
    <col min="5" max="5" width="10.140625" bestFit="1" customWidth="1"/>
    <col min="6" max="6" width="11.28515625" bestFit="1" customWidth="1"/>
    <col min="7" max="7" width="12.28515625" bestFit="1" customWidth="1"/>
    <col min="8" max="8" width="10.140625" bestFit="1" customWidth="1"/>
    <col min="9" max="9" width="15.42578125" bestFit="1" customWidth="1"/>
    <col min="10" max="10" width="12.28515625" bestFit="1" customWidth="1"/>
    <col min="11" max="11" width="15.42578125" bestFit="1" customWidth="1"/>
    <col min="12" max="12" width="12.28515625" bestFit="1" customWidth="1"/>
    <col min="13" max="13" width="11.85546875" bestFit="1" customWidth="1"/>
    <col min="14" max="14" width="15.42578125" bestFit="1" customWidth="1"/>
    <col min="15" max="15" width="12.28515625" bestFit="1" customWidth="1"/>
    <col min="16" max="16" width="15.42578125" bestFit="1" customWidth="1"/>
    <col min="17" max="17" width="12.28515625" bestFit="1" customWidth="1"/>
    <col min="18" max="18" width="15.42578125" bestFit="1" customWidth="1"/>
    <col min="19" max="19" width="12.28515625" bestFit="1" customWidth="1"/>
    <col min="20" max="20" width="11.85546875" bestFit="1" customWidth="1"/>
    <col min="21" max="21" width="15.42578125" bestFit="1" customWidth="1"/>
    <col min="22" max="22" width="11.28515625" bestFit="1" customWidth="1"/>
  </cols>
  <sheetData>
    <row r="3" spans="1:6" x14ac:dyDescent="0.25">
      <c r="A3" s="2" t="s">
        <v>26</v>
      </c>
      <c r="B3" s="2" t="s">
        <v>24</v>
      </c>
    </row>
    <row r="4" spans="1:6" x14ac:dyDescent="0.25">
      <c r="A4" s="2" t="s">
        <v>16</v>
      </c>
      <c r="B4" t="s">
        <v>11</v>
      </c>
      <c r="C4" t="s">
        <v>12</v>
      </c>
      <c r="D4" t="s">
        <v>25</v>
      </c>
      <c r="E4" t="s">
        <v>13</v>
      </c>
      <c r="F4" t="s">
        <v>19</v>
      </c>
    </row>
    <row r="5" spans="1:6" x14ac:dyDescent="0.25">
      <c r="A5" s="3">
        <v>46266</v>
      </c>
      <c r="B5" s="4">
        <v>75</v>
      </c>
      <c r="C5" s="4">
        <v>310</v>
      </c>
      <c r="D5" s="4"/>
      <c r="E5" s="4"/>
      <c r="F5" s="4">
        <v>385</v>
      </c>
    </row>
    <row r="6" spans="1:6" x14ac:dyDescent="0.25">
      <c r="A6" s="3">
        <v>46267</v>
      </c>
      <c r="B6" s="4">
        <v>1700</v>
      </c>
      <c r="C6" s="4"/>
      <c r="D6" s="4"/>
      <c r="E6" s="4"/>
      <c r="F6" s="4">
        <v>1700</v>
      </c>
    </row>
    <row r="7" spans="1:6" x14ac:dyDescent="0.25">
      <c r="A7" s="3">
        <v>46268</v>
      </c>
      <c r="B7" s="4">
        <v>220</v>
      </c>
      <c r="C7" s="4"/>
      <c r="D7" s="4"/>
      <c r="E7" s="4">
        <v>80</v>
      </c>
      <c r="F7" s="4">
        <v>300</v>
      </c>
    </row>
    <row r="8" spans="1:6" x14ac:dyDescent="0.25">
      <c r="A8" s="3">
        <v>46269</v>
      </c>
      <c r="B8" s="4"/>
      <c r="C8" s="4">
        <v>360</v>
      </c>
      <c r="D8" s="4"/>
      <c r="E8" s="4"/>
      <c r="F8" s="4">
        <v>360</v>
      </c>
    </row>
    <row r="9" spans="1:6" x14ac:dyDescent="0.25">
      <c r="A9" s="3">
        <v>46270</v>
      </c>
      <c r="B9" s="4">
        <v>180</v>
      </c>
      <c r="C9" s="4"/>
      <c r="D9" s="4">
        <v>0</v>
      </c>
      <c r="E9" s="4"/>
      <c r="F9" s="4">
        <v>180</v>
      </c>
    </row>
    <row r="10" spans="1:6" x14ac:dyDescent="0.25">
      <c r="A10" s="3">
        <v>46271</v>
      </c>
      <c r="B10" s="4"/>
      <c r="C10" s="4"/>
      <c r="D10" s="4"/>
      <c r="E10" s="4">
        <v>80</v>
      </c>
      <c r="F10" s="4">
        <v>80</v>
      </c>
    </row>
    <row r="11" spans="1:6" x14ac:dyDescent="0.25">
      <c r="A11" s="3">
        <v>46272</v>
      </c>
      <c r="B11" s="4">
        <v>850</v>
      </c>
      <c r="C11" s="4"/>
      <c r="D11" s="4"/>
      <c r="E11" s="4"/>
      <c r="F11" s="4">
        <v>850</v>
      </c>
    </row>
    <row r="12" spans="1:6" x14ac:dyDescent="0.25">
      <c r="A12" s="3">
        <v>46273</v>
      </c>
      <c r="B12" s="4">
        <v>125</v>
      </c>
      <c r="C12" s="4"/>
      <c r="D12" s="4">
        <v>0</v>
      </c>
      <c r="E12" s="4"/>
      <c r="F12" s="4">
        <v>125</v>
      </c>
    </row>
    <row r="13" spans="1:6" x14ac:dyDescent="0.25">
      <c r="A13" s="3" t="s">
        <v>19</v>
      </c>
      <c r="B13" s="4">
        <v>3150</v>
      </c>
      <c r="C13" s="4">
        <v>670</v>
      </c>
      <c r="D13" s="4">
        <v>0</v>
      </c>
      <c r="E13" s="4">
        <v>160</v>
      </c>
      <c r="F13" s="4">
        <v>3980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Jr Castaños</dc:creator>
  <cp:lastModifiedBy>Angel Castanos</cp:lastModifiedBy>
  <dcterms:created xsi:type="dcterms:W3CDTF">2015-06-05T18:17:20Z</dcterms:created>
  <dcterms:modified xsi:type="dcterms:W3CDTF">2026-10-10T20:40:58Z</dcterms:modified>
</cp:coreProperties>
</file>